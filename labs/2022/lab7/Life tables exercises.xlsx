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nes/Dropbox/_SDU_Teaching/BB512/Practicals/Age-Stage Models - Life Tables/"/>
    </mc:Choice>
  </mc:AlternateContent>
  <xr:revisionPtr revIDLastSave="0" documentId="13_ncr:1_{9AD8CCDC-F7BE-544D-8511-231D1CBA85B2}" xr6:coauthVersionLast="45" xr6:coauthVersionMax="45" xr10:uidLastSave="{00000000-0000-0000-0000-000000000000}"/>
  <bookViews>
    <workbookView xWindow="2420" yWindow="460" windowWidth="14140" windowHeight="14380" tabRatio="500" xr2:uid="{00000000-000D-0000-FFFF-FFFF00000000}"/>
  </bookViews>
  <sheets>
    <sheet name="Life table" sheetId="2" r:id="rId1"/>
    <sheet name="Survivorship Curves" sheetId="1" r:id="rId2"/>
    <sheet name="Gotelli Table 3.1 exa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3" l="1"/>
  <c r="F5" i="3" s="1"/>
  <c r="G5" i="3" s="1"/>
  <c r="D6" i="3"/>
  <c r="F6" i="3"/>
  <c r="G6" i="3" s="1"/>
  <c r="D7" i="3"/>
  <c r="F7" i="3" s="1"/>
  <c r="G7" i="3" s="1"/>
  <c r="D8" i="3"/>
  <c r="F8" i="3"/>
  <c r="G8" i="3" s="1"/>
  <c r="D4" i="3"/>
  <c r="F4" i="3" s="1"/>
  <c r="E7" i="3"/>
  <c r="E6" i="3"/>
  <c r="E5" i="3"/>
  <c r="E4" i="3"/>
  <c r="F9" i="3" l="1"/>
  <c r="G4" i="3"/>
  <c r="F11" i="3" l="1"/>
  <c r="F13" i="3" s="1"/>
</calcChain>
</file>

<file path=xl/sharedStrings.xml><?xml version="1.0" encoding="utf-8"?>
<sst xmlns="http://schemas.openxmlformats.org/spreadsheetml/2006/main" count="47" uniqueCount="25">
  <si>
    <t>Population1</t>
  </si>
  <si>
    <t>x</t>
  </si>
  <si>
    <t>S(x)</t>
  </si>
  <si>
    <t>Population2</t>
  </si>
  <si>
    <t>l(x)</t>
  </si>
  <si>
    <t>ln(l(x))</t>
  </si>
  <si>
    <t>Age</t>
  </si>
  <si>
    <t>Number of individuals entering the interval</t>
  </si>
  <si>
    <t>Mean number of offspring produced</t>
  </si>
  <si>
    <t>b(x)</t>
  </si>
  <si>
    <t>g(x)</t>
  </si>
  <si>
    <t>Survival probability</t>
  </si>
  <si>
    <t>l(x)b(x)</t>
  </si>
  <si>
    <t>l(x)b(x)x</t>
  </si>
  <si>
    <t>Survivorship</t>
  </si>
  <si>
    <t>R0</t>
  </si>
  <si>
    <t>Generation time (G)</t>
  </si>
  <si>
    <t>r (estimated)</t>
  </si>
  <si>
    <t>2) Use these to calculate R0</t>
  </si>
  <si>
    <t>3) Now calculate estimated r (the population growth rate), by calculating and correcting for generation time</t>
  </si>
  <si>
    <t>4) Extra: Observe what happens to r if you change reproduction at early ages compared to late ages.</t>
  </si>
  <si>
    <t>Instructions</t>
  </si>
  <si>
    <t>This is the example from Table 3.1 in Gotelli, for information purposes</t>
  </si>
  <si>
    <t xml:space="preserve"> when r&gt;0 population grows</t>
  </si>
  <si>
    <t>1) Calculate survivorship, survival probability etc. (refer to Table 3.1 in Gotelli for equations- and the worksheet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</si>
</sst>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6" borderId="0" xfId="0" applyFill="1"/>
    <xf numFmtId="0" fontId="0" fillId="7" borderId="0" xfId="0" applyFill="1"/>
    <xf numFmtId="0" fontId="4" fillId="0" borderId="0" xfId="0" applyFont="1"/>
    <xf numFmtId="0" fontId="0" fillId="7" borderId="0" xfId="0" applyFill="1" applyAlignment="1">
      <alignment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ln(l(x))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'Survivorship Curves'!$C$2</c:f>
              <c:strCache>
                <c:ptCount val="1"/>
                <c:pt idx="0">
                  <c:v>l(x)</c:v>
                </c:pt>
              </c:strCache>
            </c:strRef>
          </c:tx>
          <c:spPr>
            <a:ln w="47625">
              <a:noFill/>
            </a:ln>
          </c:spPr>
          <c:xVal>
            <c:numRef>
              <c:f>'Survivorship Curves'!$A$3:$A$13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'Survivorship Curves'!$D$3:$D$13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B-514C-81A5-4B67933E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391064"/>
        <c:axId val="2095394152"/>
      </c:scatterChart>
      <c:valAx>
        <c:axId val="2095391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5394152"/>
        <c:crosses val="autoZero"/>
        <c:crossBetween val="midCat"/>
      </c:valAx>
      <c:valAx>
        <c:axId val="2095394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391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'Survivorship Curves'!$I$2</c:f>
              <c:strCache>
                <c:ptCount val="1"/>
                <c:pt idx="0">
                  <c:v>ln(l(x))</c:v>
                </c:pt>
              </c:strCache>
            </c:strRef>
          </c:tx>
          <c:spPr>
            <a:ln w="47625">
              <a:noFill/>
            </a:ln>
          </c:spPr>
          <c:xVal>
            <c:numRef>
              <c:f>'Survivorship Curves'!$F$3:$F$13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'Survivorship Curves'!$I$3:$I$13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7-B74C-9E5A-8F5BD97B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389944"/>
        <c:axId val="2098377528"/>
      </c:scatterChart>
      <c:valAx>
        <c:axId val="2098389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8377528"/>
        <c:crosses val="autoZero"/>
        <c:crossBetween val="midCat"/>
      </c:valAx>
      <c:valAx>
        <c:axId val="2098377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389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'Survivorship Curves'!$N$2</c:f>
              <c:strCache>
                <c:ptCount val="1"/>
                <c:pt idx="0">
                  <c:v>ln(l(x))</c:v>
                </c:pt>
              </c:strCache>
            </c:strRef>
          </c:tx>
          <c:spPr>
            <a:ln w="47625">
              <a:noFill/>
            </a:ln>
          </c:spPr>
          <c:xVal>
            <c:numRef>
              <c:f>'Survivorship Curves'!$K$3:$K$13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'Survivorship Curves'!$N$3:$N$13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1-8C4E-BA4E-80A0A5B3B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276872"/>
        <c:axId val="2088348184"/>
      </c:scatterChart>
      <c:valAx>
        <c:axId val="2088276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88348184"/>
        <c:crosses val="autoZero"/>
        <c:crossBetween val="midCat"/>
      </c:valAx>
      <c:valAx>
        <c:axId val="2088348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8276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14</xdr:row>
      <xdr:rowOff>120650</xdr:rowOff>
    </xdr:from>
    <xdr:to>
      <xdr:col>3</xdr:col>
      <xdr:colOff>596900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723900</xdr:colOff>
      <xdr:row>14</xdr:row>
      <xdr:rowOff>69850</xdr:rowOff>
    </xdr:from>
    <xdr:to>
      <xdr:col>9</xdr:col>
      <xdr:colOff>38100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635000</xdr:colOff>
      <xdr:row>14</xdr:row>
      <xdr:rowOff>114300</xdr:rowOff>
    </xdr:from>
    <xdr:to>
      <xdr:col>14</xdr:col>
      <xdr:colOff>609600</xdr:colOff>
      <xdr:row>30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B16" sqref="B16"/>
    </sheetView>
  </sheetViews>
  <sheetFormatPr baseColWidth="10" defaultRowHeight="16"/>
  <sheetData>
    <row r="1" spans="1:7" ht="68">
      <c r="A1" s="7" t="s">
        <v>6</v>
      </c>
      <c r="B1" s="7" t="s">
        <v>7</v>
      </c>
      <c r="C1" s="7" t="s">
        <v>8</v>
      </c>
      <c r="D1" s="7" t="s">
        <v>14</v>
      </c>
      <c r="E1" s="7" t="s">
        <v>11</v>
      </c>
      <c r="F1" s="6"/>
      <c r="G1" s="6"/>
    </row>
    <row r="2" spans="1:7">
      <c r="A2" s="2" t="s">
        <v>1</v>
      </c>
      <c r="B2" s="2" t="s">
        <v>2</v>
      </c>
      <c r="C2" s="2" t="s">
        <v>9</v>
      </c>
      <c r="D2" s="2" t="s">
        <v>4</v>
      </c>
      <c r="E2" s="2" t="s">
        <v>10</v>
      </c>
      <c r="F2" s="2" t="s">
        <v>12</v>
      </c>
      <c r="G2" s="2" t="s">
        <v>13</v>
      </c>
    </row>
    <row r="3" spans="1:7">
      <c r="A3" s="3">
        <v>0</v>
      </c>
      <c r="B3" s="4">
        <v>500</v>
      </c>
      <c r="C3" s="4">
        <v>0</v>
      </c>
    </row>
    <row r="4" spans="1:7">
      <c r="A4" s="3">
        <v>1</v>
      </c>
      <c r="B4" s="4">
        <v>352</v>
      </c>
      <c r="C4" s="4">
        <v>0</v>
      </c>
    </row>
    <row r="5" spans="1:7">
      <c r="A5" s="3">
        <v>2</v>
      </c>
      <c r="B5" s="4">
        <v>298</v>
      </c>
      <c r="C5" s="4">
        <v>1.2</v>
      </c>
    </row>
    <row r="6" spans="1:7">
      <c r="A6" s="3">
        <v>3</v>
      </c>
      <c r="B6" s="4">
        <v>254</v>
      </c>
      <c r="C6" s="4">
        <v>2.2999999999999998</v>
      </c>
    </row>
    <row r="7" spans="1:7">
      <c r="A7" s="3">
        <v>4</v>
      </c>
      <c r="B7" s="4">
        <v>198</v>
      </c>
      <c r="C7" s="4">
        <v>3.3</v>
      </c>
    </row>
    <row r="8" spans="1:7">
      <c r="A8" s="3">
        <v>5</v>
      </c>
      <c r="B8" s="4">
        <v>172</v>
      </c>
      <c r="C8" s="4">
        <v>1.1000000000000001</v>
      </c>
    </row>
    <row r="9" spans="1:7">
      <c r="A9" s="3">
        <v>6</v>
      </c>
      <c r="B9" s="4">
        <v>145</v>
      </c>
      <c r="C9" s="4">
        <v>0.9</v>
      </c>
    </row>
    <row r="10" spans="1:7">
      <c r="A10" s="3">
        <v>7</v>
      </c>
      <c r="B10" s="4">
        <v>98</v>
      </c>
      <c r="C10" s="4">
        <v>0.7</v>
      </c>
    </row>
    <row r="11" spans="1:7">
      <c r="A11" s="3">
        <v>8</v>
      </c>
      <c r="B11" s="4">
        <v>67</v>
      </c>
      <c r="C11" s="4">
        <v>0.5</v>
      </c>
    </row>
    <row r="12" spans="1:7">
      <c r="A12" s="3">
        <v>9</v>
      </c>
      <c r="B12" s="4">
        <v>43</v>
      </c>
      <c r="C12" s="4">
        <v>0.3</v>
      </c>
    </row>
    <row r="13" spans="1:7">
      <c r="A13" s="3">
        <v>10</v>
      </c>
      <c r="B13" s="4">
        <v>5</v>
      </c>
      <c r="C13" s="4">
        <v>0</v>
      </c>
    </row>
    <row r="14" spans="1:7">
      <c r="E14" s="9" t="s">
        <v>15</v>
      </c>
      <c r="F14" s="8"/>
    </row>
    <row r="16" spans="1:7" ht="34">
      <c r="E16" s="11" t="s">
        <v>16</v>
      </c>
      <c r="F16" s="8"/>
    </row>
    <row r="18" spans="1:7">
      <c r="E18" s="9" t="s">
        <v>17</v>
      </c>
      <c r="F18" s="8"/>
      <c r="G18" t="s">
        <v>23</v>
      </c>
    </row>
    <row r="19" spans="1:7">
      <c r="A19" s="1" t="s">
        <v>21</v>
      </c>
    </row>
    <row r="20" spans="1:7">
      <c r="A20" s="10" t="s">
        <v>24</v>
      </c>
    </row>
    <row r="21" spans="1:7">
      <c r="A21" s="10" t="s">
        <v>18</v>
      </c>
    </row>
    <row r="22" spans="1:7">
      <c r="A22" s="10" t="s">
        <v>19</v>
      </c>
    </row>
    <row r="23" spans="1:7">
      <c r="A23" s="10" t="s">
        <v>20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opLeftCell="J1" workbookViewId="0">
      <selection activeCell="P19" sqref="P19"/>
    </sheetView>
  </sheetViews>
  <sheetFormatPr baseColWidth="10" defaultRowHeight="16"/>
  <sheetData>
    <row r="1" spans="1:14">
      <c r="A1" s="1" t="s">
        <v>0</v>
      </c>
      <c r="F1" s="1" t="s">
        <v>3</v>
      </c>
      <c r="K1" s="1" t="s">
        <v>3</v>
      </c>
    </row>
    <row r="2" spans="1:14">
      <c r="A2" s="2" t="s">
        <v>1</v>
      </c>
      <c r="B2" s="2" t="s">
        <v>2</v>
      </c>
      <c r="C2" s="2" t="s">
        <v>4</v>
      </c>
      <c r="D2" s="2" t="s">
        <v>5</v>
      </c>
      <c r="F2" s="2" t="s">
        <v>1</v>
      </c>
      <c r="G2" s="2" t="s">
        <v>2</v>
      </c>
      <c r="H2" s="2" t="s">
        <v>4</v>
      </c>
      <c r="I2" s="2" t="s">
        <v>5</v>
      </c>
      <c r="K2" s="2" t="s">
        <v>1</v>
      </c>
      <c r="L2" s="2" t="s">
        <v>2</v>
      </c>
      <c r="M2" s="2" t="s">
        <v>4</v>
      </c>
      <c r="N2" s="2" t="s">
        <v>5</v>
      </c>
    </row>
    <row r="3" spans="1:14">
      <c r="A3" s="3">
        <v>0</v>
      </c>
      <c r="B3" s="4">
        <v>1000</v>
      </c>
      <c r="C3" s="5"/>
      <c r="D3" s="5"/>
      <c r="F3" s="3">
        <v>0</v>
      </c>
      <c r="G3" s="4">
        <v>1000</v>
      </c>
      <c r="H3" s="5"/>
      <c r="I3" s="5"/>
      <c r="K3" s="3">
        <v>0</v>
      </c>
      <c r="L3" s="4">
        <v>1000</v>
      </c>
      <c r="M3" s="5"/>
      <c r="N3" s="5"/>
    </row>
    <row r="4" spans="1:14">
      <c r="A4" s="3">
        <v>1</v>
      </c>
      <c r="B4" s="4">
        <v>983</v>
      </c>
      <c r="C4" s="5"/>
      <c r="D4" s="5"/>
      <c r="F4" s="3">
        <v>1</v>
      </c>
      <c r="G4" s="4">
        <v>752</v>
      </c>
      <c r="H4" s="5"/>
      <c r="I4" s="5"/>
      <c r="K4" s="3">
        <v>1</v>
      </c>
      <c r="L4" s="4">
        <v>267</v>
      </c>
      <c r="M4" s="5"/>
      <c r="N4" s="5"/>
    </row>
    <row r="5" spans="1:14">
      <c r="A5" s="3">
        <v>2</v>
      </c>
      <c r="B5" s="4">
        <v>976</v>
      </c>
      <c r="C5" s="5"/>
      <c r="D5" s="5"/>
      <c r="F5" s="3">
        <v>2</v>
      </c>
      <c r="G5" s="4">
        <v>489</v>
      </c>
      <c r="H5" s="5"/>
      <c r="I5" s="5"/>
      <c r="K5" s="3">
        <v>2</v>
      </c>
      <c r="L5" s="4">
        <v>84</v>
      </c>
      <c r="M5" s="5"/>
      <c r="N5" s="5"/>
    </row>
    <row r="6" spans="1:14">
      <c r="A6" s="3">
        <v>3</v>
      </c>
      <c r="B6" s="4">
        <v>882</v>
      </c>
      <c r="C6" s="5"/>
      <c r="D6" s="5"/>
      <c r="F6" s="3">
        <v>3</v>
      </c>
      <c r="G6" s="4">
        <v>343</v>
      </c>
      <c r="H6" s="5"/>
      <c r="I6" s="5"/>
      <c r="K6" s="3">
        <v>3</v>
      </c>
      <c r="L6" s="4">
        <v>60</v>
      </c>
      <c r="M6" s="5"/>
      <c r="N6" s="5"/>
    </row>
    <row r="7" spans="1:14">
      <c r="A7" s="3">
        <v>4</v>
      </c>
      <c r="B7" s="4">
        <v>801</v>
      </c>
      <c r="C7" s="5"/>
      <c r="D7" s="5"/>
      <c r="F7" s="3">
        <v>4</v>
      </c>
      <c r="G7" s="4">
        <v>243</v>
      </c>
      <c r="H7" s="5"/>
      <c r="I7" s="5"/>
      <c r="K7" s="3">
        <v>4</v>
      </c>
      <c r="L7" s="4">
        <v>36</v>
      </c>
      <c r="M7" s="5"/>
      <c r="N7" s="5"/>
    </row>
    <row r="8" spans="1:14">
      <c r="A8" s="3">
        <v>5</v>
      </c>
      <c r="B8" s="4">
        <v>712</v>
      </c>
      <c r="C8" s="5"/>
      <c r="D8" s="5"/>
      <c r="F8" s="3">
        <v>5</v>
      </c>
      <c r="G8" s="4">
        <v>168</v>
      </c>
      <c r="H8" s="5"/>
      <c r="I8" s="5"/>
      <c r="K8" s="3">
        <v>5</v>
      </c>
      <c r="L8" s="4">
        <v>25</v>
      </c>
      <c r="M8" s="5"/>
      <c r="N8" s="5"/>
    </row>
    <row r="9" spans="1:14">
      <c r="A9" s="3">
        <v>6</v>
      </c>
      <c r="B9" s="4">
        <v>620</v>
      </c>
      <c r="C9" s="5"/>
      <c r="D9" s="5"/>
      <c r="F9" s="3">
        <v>6</v>
      </c>
      <c r="G9" s="4">
        <v>117</v>
      </c>
      <c r="H9" s="5"/>
      <c r="I9" s="5"/>
      <c r="K9" s="3">
        <v>6</v>
      </c>
      <c r="L9" s="4">
        <v>19</v>
      </c>
      <c r="M9" s="5"/>
      <c r="N9" s="5"/>
    </row>
    <row r="10" spans="1:14">
      <c r="A10" s="3">
        <v>7</v>
      </c>
      <c r="B10" s="4">
        <v>497</v>
      </c>
      <c r="C10" s="5"/>
      <c r="D10" s="5"/>
      <c r="F10" s="3">
        <v>7</v>
      </c>
      <c r="G10" s="4">
        <v>86</v>
      </c>
      <c r="H10" s="5"/>
      <c r="I10" s="5"/>
      <c r="K10" s="3">
        <v>7</v>
      </c>
      <c r="L10" s="4">
        <v>18</v>
      </c>
      <c r="M10" s="5"/>
      <c r="N10" s="5"/>
    </row>
    <row r="11" spans="1:14">
      <c r="A11" s="3">
        <v>8</v>
      </c>
      <c r="B11" s="4">
        <v>311</v>
      </c>
      <c r="C11" s="5"/>
      <c r="D11" s="5"/>
      <c r="F11" s="3">
        <v>8</v>
      </c>
      <c r="G11" s="4">
        <v>54</v>
      </c>
      <c r="H11" s="5"/>
      <c r="I11" s="5"/>
      <c r="K11" s="3">
        <v>8</v>
      </c>
      <c r="L11" s="4">
        <v>16</v>
      </c>
      <c r="M11" s="5"/>
      <c r="N11" s="5"/>
    </row>
    <row r="12" spans="1:14">
      <c r="A12" s="3">
        <v>9</v>
      </c>
      <c r="B12" s="4">
        <v>103</v>
      </c>
      <c r="C12" s="5"/>
      <c r="D12" s="5"/>
      <c r="F12" s="3">
        <v>9</v>
      </c>
      <c r="G12" s="4">
        <v>32</v>
      </c>
      <c r="H12" s="5"/>
      <c r="I12" s="5"/>
      <c r="K12" s="3">
        <v>9</v>
      </c>
      <c r="L12" s="4">
        <v>14</v>
      </c>
      <c r="M12" s="5"/>
      <c r="N12" s="5"/>
    </row>
    <row r="13" spans="1:14">
      <c r="A13" s="3">
        <v>10</v>
      </c>
      <c r="B13" s="4">
        <v>5</v>
      </c>
      <c r="C13" s="5"/>
      <c r="D13" s="5"/>
      <c r="F13" s="3">
        <v>10</v>
      </c>
      <c r="G13" s="4">
        <v>11</v>
      </c>
      <c r="H13" s="5"/>
      <c r="I13" s="5"/>
      <c r="K13" s="3">
        <v>10</v>
      </c>
      <c r="L13" s="4">
        <v>13</v>
      </c>
      <c r="M13" s="5"/>
      <c r="N13" s="5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opLeftCell="A2" workbookViewId="0">
      <selection activeCell="E23" sqref="E23"/>
    </sheetView>
  </sheetViews>
  <sheetFormatPr baseColWidth="10" defaultRowHeight="16"/>
  <sheetData>
    <row r="1" spans="1:7">
      <c r="A1" t="s">
        <v>22</v>
      </c>
    </row>
    <row r="3" spans="1:7">
      <c r="A3" s="2" t="s">
        <v>1</v>
      </c>
      <c r="B3" s="2" t="s">
        <v>2</v>
      </c>
      <c r="C3" s="2" t="s">
        <v>9</v>
      </c>
      <c r="D3" s="2" t="s">
        <v>4</v>
      </c>
      <c r="E3" s="2" t="s">
        <v>10</v>
      </c>
      <c r="F3" s="2" t="s">
        <v>12</v>
      </c>
      <c r="G3" s="2" t="s">
        <v>13</v>
      </c>
    </row>
    <row r="4" spans="1:7">
      <c r="A4" s="3">
        <v>0</v>
      </c>
      <c r="B4" s="4">
        <v>500</v>
      </c>
      <c r="C4" s="4">
        <v>0</v>
      </c>
      <c r="D4">
        <f>B4/$B$4</f>
        <v>1</v>
      </c>
      <c r="E4">
        <f>B5/B4</f>
        <v>0.8</v>
      </c>
      <c r="F4">
        <f>D4*C4</f>
        <v>0</v>
      </c>
      <c r="G4">
        <f>F4*A4</f>
        <v>0</v>
      </c>
    </row>
    <row r="5" spans="1:7">
      <c r="A5" s="3">
        <v>1</v>
      </c>
      <c r="B5" s="4">
        <v>400</v>
      </c>
      <c r="C5" s="4">
        <v>2</v>
      </c>
      <c r="D5">
        <f>B5/$B$4</f>
        <v>0.8</v>
      </c>
      <c r="E5">
        <f t="shared" ref="E5:E7" si="0">B6/B5</f>
        <v>0.5</v>
      </c>
      <c r="F5">
        <f t="shared" ref="F5:F8" si="1">D5*C5</f>
        <v>1.6</v>
      </c>
      <c r="G5">
        <f t="shared" ref="G5:G8" si="2">F5*A5</f>
        <v>1.6</v>
      </c>
    </row>
    <row r="6" spans="1:7">
      <c r="A6" s="3">
        <v>2</v>
      </c>
      <c r="B6" s="4">
        <v>200</v>
      </c>
      <c r="C6" s="4">
        <v>3</v>
      </c>
      <c r="D6">
        <f>B6/$B$4</f>
        <v>0.4</v>
      </c>
      <c r="E6">
        <f t="shared" si="0"/>
        <v>0.25</v>
      </c>
      <c r="F6">
        <f t="shared" si="1"/>
        <v>1.2000000000000002</v>
      </c>
      <c r="G6">
        <f t="shared" si="2"/>
        <v>2.4000000000000004</v>
      </c>
    </row>
    <row r="7" spans="1:7">
      <c r="A7" s="3">
        <v>3</v>
      </c>
      <c r="B7" s="4">
        <v>50</v>
      </c>
      <c r="C7" s="4">
        <v>1</v>
      </c>
      <c r="D7">
        <f>B7/$B$4</f>
        <v>0.1</v>
      </c>
      <c r="E7">
        <f t="shared" si="0"/>
        <v>0</v>
      </c>
      <c r="F7">
        <f t="shared" si="1"/>
        <v>0.1</v>
      </c>
      <c r="G7">
        <f t="shared" si="2"/>
        <v>0.30000000000000004</v>
      </c>
    </row>
    <row r="8" spans="1:7">
      <c r="A8" s="3">
        <v>4</v>
      </c>
      <c r="B8" s="4">
        <v>0</v>
      </c>
      <c r="C8" s="4">
        <v>0</v>
      </c>
      <c r="D8">
        <f>B8/$B$4</f>
        <v>0</v>
      </c>
      <c r="F8">
        <f t="shared" si="1"/>
        <v>0</v>
      </c>
      <c r="G8">
        <f t="shared" si="2"/>
        <v>0</v>
      </c>
    </row>
    <row r="9" spans="1:7">
      <c r="E9" s="9" t="s">
        <v>15</v>
      </c>
      <c r="F9" s="8">
        <f>SUM(F4:F8)</f>
        <v>2.9000000000000004</v>
      </c>
    </row>
    <row r="11" spans="1:7" ht="34">
      <c r="E11" s="11" t="s">
        <v>16</v>
      </c>
      <c r="F11" s="8">
        <f>SUM(G4:G8)/F9</f>
        <v>1.482758620689655</v>
      </c>
    </row>
    <row r="13" spans="1:7">
      <c r="E13" s="9" t="s">
        <v>17</v>
      </c>
      <c r="F13" s="8">
        <f>LN(F9)/F11</f>
        <v>0.71806072959954481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Life table</vt:lpstr>
      <vt:lpstr>Survivorship Curves</vt:lpstr>
      <vt:lpstr>Gotelli Table 3.1 example</vt:lpstr>
    </vt:vector>
  </TitlesOfParts>
  <Company>University of Southern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Jones</dc:creator>
  <cp:lastModifiedBy>Microsoft Office User</cp:lastModifiedBy>
  <dcterms:created xsi:type="dcterms:W3CDTF">2015-09-15T14:14:03Z</dcterms:created>
  <dcterms:modified xsi:type="dcterms:W3CDTF">2020-09-16T08:38:49Z</dcterms:modified>
</cp:coreProperties>
</file>